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olibecas\Downloads\"/>
    </mc:Choice>
  </mc:AlternateContent>
  <xr:revisionPtr revIDLastSave="0" documentId="8_{CAC5C3D6-9167-4D6E-80E1-9A033B481B6F}" xr6:coauthVersionLast="47" xr6:coauthVersionMax="47" xr10:uidLastSave="{00000000-0000-0000-0000-000000000000}"/>
  <bookViews>
    <workbookView xWindow="-120" yWindow="-120" windowWidth="20730" windowHeight="11040" xr2:uid="{A0A290AD-187A-4904-A453-1731273EC12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N10" i="1"/>
  <c r="I13" i="1"/>
  <c r="I12" i="1"/>
  <c r="I11" i="1"/>
  <c r="I10" i="1"/>
  <c r="H13" i="1"/>
  <c r="H12" i="1"/>
  <c r="H11" i="1"/>
</calcChain>
</file>

<file path=xl/sharedStrings.xml><?xml version="1.0" encoding="utf-8"?>
<sst xmlns="http://schemas.openxmlformats.org/spreadsheetml/2006/main" count="31" uniqueCount="29">
  <si>
    <t>"Actividad 3. Ejercicio: Índice Herfindahl e Hirschman (HHI). La fusión entre las aerolíneas"
estadounidenses American Airlines y US Airways, que tuvo lugar en 2013.</t>
  </si>
  <si>
    <t>Universidad de Colima</t>
  </si>
  <si>
    <t>Facultad de Economia</t>
  </si>
  <si>
    <t>Antes de la fusión, las cuotas de mercado de las principales aerolíneas en un
aeropuerto específico eran las siguientes:</t>
  </si>
  <si>
    <t>American Airlines</t>
  </si>
  <si>
    <t>Delta Airlines</t>
  </si>
  <si>
    <t>US Airways</t>
  </si>
  <si>
    <t>United Airlines</t>
  </si>
  <si>
    <t>Southwest Airlines</t>
  </si>
  <si>
    <t>Después de la fusión los datos pudieron quedar de la siguiente manera:</t>
  </si>
  <si>
    <t>IHH</t>
  </si>
  <si>
    <t>Fórmula</t>
  </si>
  <si>
    <t xml:space="preserve"> =(30)^2 + (25)^2 + (20)^2 + (15)^2 + (10)^2</t>
  </si>
  <si>
    <t xml:space="preserve"> =(50)^2 + (25)^2 + (15)^2 + (10)^2</t>
  </si>
  <si>
    <t>American Airlines y US Airways</t>
  </si>
  <si>
    <t>Materia: Economia Internacional</t>
  </si>
  <si>
    <t>Tipo de Concentración</t>
  </si>
  <si>
    <t>Intervalo del Índice IHH</t>
  </si>
  <si>
    <t>IHH &lt; 1,000</t>
  </si>
  <si>
    <t>1,000 &lt; IHH &lt; 1,800</t>
  </si>
  <si>
    <t>IHH &gt; 1,800</t>
  </si>
  <si>
    <t>IHH =10,000</t>
  </si>
  <si>
    <t>Mercado  Diversificado</t>
  </si>
  <si>
    <t>Mercado moderamente diversificado</t>
  </si>
  <si>
    <t>Mercado Concentrado</t>
  </si>
  <si>
    <t>Monopolio</t>
  </si>
  <si>
    <t xml:space="preserve">Georgina Ramirez Villanueva 4°F  21 / 02 / 2026 </t>
  </si>
  <si>
    <r>
      <rPr>
        <b/>
        <sz val="11"/>
        <color rgb="FFFF0000"/>
        <rFont val="Aptos Narrow"/>
        <family val="2"/>
        <scheme val="minor"/>
      </rPr>
      <t>Interpretación</t>
    </r>
    <r>
      <rPr>
        <b/>
        <sz val="11"/>
        <color theme="1"/>
        <rFont val="Aptos Narrow"/>
        <family val="2"/>
        <scheme val="minor"/>
      </rPr>
      <t xml:space="preserve">: </t>
    </r>
    <r>
      <rPr>
        <sz val="11"/>
        <color theme="1"/>
        <rFont val="Aptos Narrow"/>
        <family val="2"/>
        <scheme val="minor"/>
      </rPr>
      <t>El análisis antes de la fusión nos marca un IHH de 2,250 esto indica que el mercado ya se encontraba altamente concentrado, ya que supera el nivel de 1,800 que se utiliza para clasificar a un mercado como concentrado.
Esto quiere decir que pocas aerolíneas dominan la mayor parte del mercado, formando una estructura cercana a un oligopolio esto porque aunque existen varias empresas, el control principal se concentra en las tres primeras aerolíneas conformando el 75% del mercado, lo que puede generar mayores barreras de entrada para nuevos competidores y menor presión competitiva en precios,</t>
    </r>
    <r>
      <rPr>
        <b/>
        <sz val="11"/>
        <color theme="1"/>
        <rFont val="Aptos Narrow"/>
        <family val="2"/>
        <scheme val="minor"/>
      </rPr>
      <t xml:space="preserve"> </t>
    </r>
    <r>
      <rPr>
        <sz val="11"/>
        <color theme="1"/>
        <rFont val="Aptos Narrow"/>
        <family val="2"/>
        <scheme val="minor"/>
      </rPr>
      <t>(el mercado ya comienza a mostrar riesgos de limitar la competencia efectiva).</t>
    </r>
  </si>
  <si>
    <r>
      <rPr>
        <b/>
        <sz val="11"/>
        <color rgb="FFFF0000"/>
        <rFont val="Aptos Narrow"/>
        <family val="2"/>
        <scheme val="minor"/>
      </rPr>
      <t>Interpretación:</t>
    </r>
    <r>
      <rPr>
        <sz val="11"/>
        <color theme="1"/>
        <rFont val="Aptos Narrow"/>
        <family val="2"/>
        <scheme val="minor"/>
      </rPr>
      <t xml:space="preserve"> El análisis después de la fusión el IHH aumenta a 3,450, lo que muestra un incremento considerable en la concentración del mercado (es nuevamente un mercado concentrado), indicando que el mercado se vuelve aún más dominado por menos empresas.
Dicho aumento de 2,250 a 3,450 refleja que la empresa fusionada alcanza el 50% del mercado esto le permite influir más en los precios, reducir la competencia y aumentar las barreras de entrada, un incremento así puede afectar a los usuarios mediante precios más altos o menor calidad en el servicio. Generando un entorno donde la aerolinea dominante puede ejercer un poder significativo sobre el mercado.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</si>
</sst>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3" tint="9.9978637043366805E-2"/>
      <name val="Aptos Narrow"/>
      <family val="2"/>
      <scheme val="minor"/>
    </font>
    <font>
      <b/>
      <sz val="11"/>
      <color rgb="FFFF0000"/>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0" fontId="3" fillId="0" borderId="0" xfId="0" applyFont="1"/>
    <xf numFmtId="0" fontId="0" fillId="0" borderId="1" xfId="0" applyBorder="1" applyAlignment="1">
      <alignment horizontal="center" vertical="center" wrapText="1"/>
    </xf>
    <xf numFmtId="0" fontId="0" fillId="0" borderId="1" xfId="0" applyBorder="1"/>
    <xf numFmtId="9" fontId="0" fillId="0" borderId="1" xfId="2" applyFont="1" applyBorder="1" applyAlignment="1">
      <alignment horizontal="center"/>
    </xf>
    <xf numFmtId="9" fontId="0" fillId="0" borderId="1" xfId="0" applyNumberFormat="1" applyBorder="1" applyAlignment="1">
      <alignment horizontal="center"/>
    </xf>
    <xf numFmtId="43" fontId="2" fillId="0" borderId="1" xfId="1" applyFont="1" applyBorder="1" applyAlignment="1">
      <alignment vertical="center"/>
    </xf>
    <xf numFmtId="0" fontId="0" fillId="4" borderId="1" xfId="0" applyFill="1" applyBorder="1" applyAlignment="1">
      <alignment horizontal="center" vertical="center" wrapText="1"/>
    </xf>
    <xf numFmtId="0" fontId="0" fillId="5" borderId="1" xfId="0" applyFill="1" applyBorder="1"/>
    <xf numFmtId="0" fontId="0" fillId="5" borderId="1" xfId="0" applyFill="1" applyBorder="1" applyAlignment="1">
      <alignment horizontal="center"/>
    </xf>
    <xf numFmtId="0" fontId="2" fillId="0" borderId="0" xfId="0" applyFont="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9" fontId="0" fillId="0" borderId="0" xfId="0" applyNumberFormat="1" applyAlignment="1">
      <alignment horizontal="center"/>
    </xf>
    <xf numFmtId="0" fontId="0" fillId="6" borderId="1" xfId="0" applyFill="1" applyBorder="1" applyAlignment="1">
      <alignment horizontal="center" vertical="top" wrapText="1"/>
    </xf>
    <xf numFmtId="0" fontId="0" fillId="6" borderId="1" xfId="0" applyFill="1" applyBorder="1" applyAlignment="1">
      <alignment horizontal="center" vertical="center" wrapText="1"/>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8672-1B8D-49CC-BC14-AEB523529EFF}">
  <dimension ref="A1:Q22"/>
  <sheetViews>
    <sheetView tabSelected="1" topLeftCell="A8" zoomScaleNormal="100" workbookViewId="0">
      <selection activeCell="O15" sqref="O15"/>
    </sheetView>
  </sheetViews>
  <sheetFormatPr baseColWidth="10" defaultRowHeight="15" x14ac:dyDescent="0.25"/>
  <cols>
    <col min="1" max="1" width="17.5703125" customWidth="1"/>
    <col min="5" max="5" width="16.140625" customWidth="1"/>
    <col min="8" max="8" width="17" customWidth="1"/>
    <col min="16" max="16" width="33.5703125" customWidth="1"/>
    <col min="17" max="17" width="20.7109375" customWidth="1"/>
  </cols>
  <sheetData>
    <row r="1" spans="1:17" x14ac:dyDescent="0.25">
      <c r="A1" s="1" t="s">
        <v>26</v>
      </c>
    </row>
    <row r="2" spans="1:17" x14ac:dyDescent="0.25">
      <c r="A2" s="1" t="s">
        <v>1</v>
      </c>
      <c r="E2" s="13" t="s">
        <v>0</v>
      </c>
      <c r="F2" s="13"/>
      <c r="G2" s="13"/>
      <c r="H2" s="13"/>
      <c r="I2" s="13"/>
      <c r="J2" s="13"/>
      <c r="K2" s="13"/>
      <c r="L2" s="13"/>
    </row>
    <row r="3" spans="1:17" x14ac:dyDescent="0.25">
      <c r="A3" s="1" t="s">
        <v>2</v>
      </c>
      <c r="E3" s="13"/>
      <c r="F3" s="13"/>
      <c r="G3" s="13"/>
      <c r="H3" s="13"/>
      <c r="I3" s="13"/>
      <c r="J3" s="13"/>
      <c r="K3" s="13"/>
      <c r="L3" s="13"/>
    </row>
    <row r="4" spans="1:17" x14ac:dyDescent="0.25">
      <c r="A4" s="1" t="s">
        <v>15</v>
      </c>
      <c r="E4" s="10"/>
      <c r="F4" s="10"/>
      <c r="G4" s="10"/>
      <c r="H4" s="10"/>
      <c r="I4" s="10"/>
      <c r="J4" s="10"/>
      <c r="K4" s="10"/>
      <c r="L4" s="10"/>
    </row>
    <row r="6" spans="1:17" x14ac:dyDescent="0.25">
      <c r="A6" s="14" t="s">
        <v>3</v>
      </c>
      <c r="B6" s="14"/>
      <c r="C6" s="14"/>
      <c r="D6" s="14"/>
      <c r="E6" s="14"/>
      <c r="F6" s="14"/>
      <c r="H6" s="15" t="s">
        <v>9</v>
      </c>
      <c r="I6" s="15"/>
      <c r="J6" s="15"/>
      <c r="K6" s="15"/>
      <c r="L6" s="15"/>
      <c r="M6" s="15"/>
      <c r="N6" s="15"/>
      <c r="P6" s="29" t="s">
        <v>16</v>
      </c>
      <c r="Q6" s="30" t="s">
        <v>17</v>
      </c>
    </row>
    <row r="7" spans="1:17" x14ac:dyDescent="0.25">
      <c r="A7" s="14"/>
      <c r="B7" s="14"/>
      <c r="C7" s="14"/>
      <c r="D7" s="14"/>
      <c r="E7" s="14"/>
      <c r="F7" s="14"/>
      <c r="H7" s="15"/>
      <c r="I7" s="15"/>
      <c r="J7" s="15"/>
      <c r="K7" s="15"/>
      <c r="L7" s="15"/>
      <c r="M7" s="15"/>
      <c r="N7" s="15"/>
      <c r="P7" s="29"/>
      <c r="Q7" s="30"/>
    </row>
    <row r="8" spans="1:17" x14ac:dyDescent="0.25">
      <c r="A8" s="14"/>
      <c r="B8" s="14"/>
      <c r="C8" s="14"/>
      <c r="D8" s="14"/>
      <c r="E8" s="14"/>
      <c r="F8" s="14"/>
      <c r="H8" s="15"/>
      <c r="I8" s="15"/>
      <c r="J8" s="15"/>
      <c r="K8" s="15"/>
      <c r="L8" s="15"/>
      <c r="M8" s="15"/>
      <c r="N8" s="15"/>
      <c r="P8" s="11" t="s">
        <v>22</v>
      </c>
      <c r="Q8" s="11" t="s">
        <v>18</v>
      </c>
    </row>
    <row r="9" spans="1:17" x14ac:dyDescent="0.25">
      <c r="A9" s="7"/>
      <c r="B9" s="7"/>
      <c r="C9" s="20" t="s">
        <v>11</v>
      </c>
      <c r="D9" s="21"/>
      <c r="E9" s="22"/>
      <c r="F9" s="7" t="s">
        <v>10</v>
      </c>
      <c r="H9" s="8"/>
      <c r="I9" s="8"/>
      <c r="J9" s="23" t="s">
        <v>11</v>
      </c>
      <c r="K9" s="24"/>
      <c r="L9" s="24"/>
      <c r="M9" s="25"/>
      <c r="N9" s="9" t="s">
        <v>10</v>
      </c>
      <c r="P9" s="11" t="s">
        <v>23</v>
      </c>
      <c r="Q9" s="11" t="s">
        <v>19</v>
      </c>
    </row>
    <row r="10" spans="1:17" ht="34.5" customHeight="1" x14ac:dyDescent="0.25">
      <c r="A10" s="3" t="s">
        <v>4</v>
      </c>
      <c r="B10" s="4">
        <v>0.3</v>
      </c>
      <c r="C10" s="16" t="s">
        <v>12</v>
      </c>
      <c r="D10" s="17"/>
      <c r="E10" s="18"/>
      <c r="F10" s="6">
        <f>(30)^2 + (25)^2 + (20)^2 + (15)^2 + (10)^2</f>
        <v>2250</v>
      </c>
      <c r="H10" s="2" t="s">
        <v>14</v>
      </c>
      <c r="I10" s="5">
        <f>B10+B12</f>
        <v>0.5</v>
      </c>
      <c r="J10" s="17" t="s">
        <v>13</v>
      </c>
      <c r="K10" s="17"/>
      <c r="L10" s="17"/>
      <c r="M10" s="18"/>
      <c r="N10" s="6">
        <f>(50)^2 + (25)^2 + (15)^2 + (10)^2</f>
        <v>3450</v>
      </c>
      <c r="P10" s="12" t="s">
        <v>24</v>
      </c>
      <c r="Q10" s="12" t="s">
        <v>20</v>
      </c>
    </row>
    <row r="11" spans="1:17" x14ac:dyDescent="0.25">
      <c r="A11" s="3" t="s">
        <v>5</v>
      </c>
      <c r="B11" s="4">
        <v>0.25</v>
      </c>
      <c r="C11" s="19"/>
      <c r="D11" s="19"/>
      <c r="E11" s="19"/>
      <c r="H11" s="3" t="str">
        <f>A11</f>
        <v>Delta Airlines</v>
      </c>
      <c r="I11" s="5">
        <f>B11</f>
        <v>0.25</v>
      </c>
      <c r="J11" s="19"/>
      <c r="K11" s="19"/>
      <c r="L11" s="19"/>
      <c r="M11" s="19"/>
      <c r="P11" s="11" t="s">
        <v>25</v>
      </c>
      <c r="Q11" s="11" t="s">
        <v>21</v>
      </c>
    </row>
    <row r="12" spans="1:17" x14ac:dyDescent="0.25">
      <c r="A12" s="3" t="s">
        <v>6</v>
      </c>
      <c r="B12" s="4">
        <v>0.2</v>
      </c>
      <c r="C12" s="19"/>
      <c r="D12" s="19"/>
      <c r="E12" s="19"/>
      <c r="H12" s="3" t="str">
        <f>A13</f>
        <v>United Airlines</v>
      </c>
      <c r="I12" s="5">
        <f>B13</f>
        <v>0.15</v>
      </c>
      <c r="J12" s="19"/>
      <c r="K12" s="19"/>
      <c r="L12" s="19"/>
      <c r="M12" s="19"/>
    </row>
    <row r="13" spans="1:17" x14ac:dyDescent="0.25">
      <c r="A13" s="3" t="s">
        <v>7</v>
      </c>
      <c r="B13" s="4">
        <v>0.15</v>
      </c>
      <c r="C13" s="19"/>
      <c r="D13" s="19"/>
      <c r="E13" s="19"/>
      <c r="H13" s="3" t="str">
        <f>A14</f>
        <v>Southwest Airlines</v>
      </c>
      <c r="I13" s="5">
        <f>B14</f>
        <v>0.1</v>
      </c>
      <c r="J13" s="28"/>
      <c r="K13" s="19"/>
      <c r="L13" s="19"/>
      <c r="M13" s="19"/>
    </row>
    <row r="14" spans="1:17" x14ac:dyDescent="0.25">
      <c r="A14" s="3" t="s">
        <v>8</v>
      </c>
      <c r="B14" s="4">
        <v>0.1</v>
      </c>
      <c r="C14" s="28"/>
      <c r="D14" s="19"/>
      <c r="E14" s="19"/>
    </row>
    <row r="16" spans="1:17" x14ac:dyDescent="0.25">
      <c r="A16" s="26" t="s">
        <v>27</v>
      </c>
      <c r="B16" s="26"/>
      <c r="C16" s="26"/>
      <c r="D16" s="26"/>
      <c r="E16" s="26"/>
      <c r="F16" s="26"/>
      <c r="H16" s="27" t="s">
        <v>28</v>
      </c>
      <c r="I16" s="27"/>
      <c r="J16" s="27"/>
      <c r="K16" s="27"/>
      <c r="L16" s="27"/>
      <c r="M16" s="27"/>
      <c r="N16" s="27"/>
    </row>
    <row r="17" spans="1:14" x14ac:dyDescent="0.25">
      <c r="A17" s="26"/>
      <c r="B17" s="26"/>
      <c r="C17" s="26"/>
      <c r="D17" s="26"/>
      <c r="E17" s="26"/>
      <c r="F17" s="26"/>
      <c r="H17" s="27"/>
      <c r="I17" s="27"/>
      <c r="J17" s="27"/>
      <c r="K17" s="27"/>
      <c r="L17" s="27"/>
      <c r="M17" s="27"/>
      <c r="N17" s="27"/>
    </row>
    <row r="18" spans="1:14" x14ac:dyDescent="0.25">
      <c r="A18" s="26"/>
      <c r="B18" s="26"/>
      <c r="C18" s="26"/>
      <c r="D18" s="26"/>
      <c r="E18" s="26"/>
      <c r="F18" s="26"/>
      <c r="H18" s="27"/>
      <c r="I18" s="27"/>
      <c r="J18" s="27"/>
      <c r="K18" s="27"/>
      <c r="L18" s="27"/>
      <c r="M18" s="27"/>
      <c r="N18" s="27"/>
    </row>
    <row r="19" spans="1:14" x14ac:dyDescent="0.25">
      <c r="A19" s="26"/>
      <c r="B19" s="26"/>
      <c r="C19" s="26"/>
      <c r="D19" s="26"/>
      <c r="E19" s="26"/>
      <c r="F19" s="26"/>
      <c r="H19" s="27"/>
      <c r="I19" s="27"/>
      <c r="J19" s="27"/>
      <c r="K19" s="27"/>
      <c r="L19" s="27"/>
      <c r="M19" s="27"/>
      <c r="N19" s="27"/>
    </row>
    <row r="20" spans="1:14" x14ac:dyDescent="0.25">
      <c r="A20" s="26"/>
      <c r="B20" s="26"/>
      <c r="C20" s="26"/>
      <c r="D20" s="26"/>
      <c r="E20" s="26"/>
      <c r="F20" s="26"/>
      <c r="H20" s="27"/>
      <c r="I20" s="27"/>
      <c r="J20" s="27"/>
      <c r="K20" s="27"/>
      <c r="L20" s="27"/>
      <c r="M20" s="27"/>
      <c r="N20" s="27"/>
    </row>
    <row r="21" spans="1:14" x14ac:dyDescent="0.25">
      <c r="A21" s="26"/>
      <c r="B21" s="26"/>
      <c r="C21" s="26"/>
      <c r="D21" s="26"/>
      <c r="E21" s="26"/>
      <c r="F21" s="26"/>
      <c r="H21" s="27"/>
      <c r="I21" s="27"/>
      <c r="J21" s="27"/>
      <c r="K21" s="27"/>
      <c r="L21" s="27"/>
      <c r="M21" s="27"/>
      <c r="N21" s="27"/>
    </row>
    <row r="22" spans="1:14" ht="47.25" customHeight="1" x14ac:dyDescent="0.25">
      <c r="A22" s="26"/>
      <c r="B22" s="26"/>
      <c r="C22" s="26"/>
      <c r="D22" s="26"/>
      <c r="E22" s="26"/>
      <c r="F22" s="26"/>
      <c r="H22" s="27"/>
      <c r="I22" s="27"/>
      <c r="J22" s="27"/>
      <c r="K22" s="27"/>
      <c r="L22" s="27"/>
      <c r="M22" s="27"/>
      <c r="N22" s="27"/>
    </row>
  </sheetData>
  <mergeCells count="18">
    <mergeCell ref="P6:P7"/>
    <mergeCell ref="Q6:Q7"/>
    <mergeCell ref="J13:M13"/>
    <mergeCell ref="J12:M12"/>
    <mergeCell ref="J11:M11"/>
    <mergeCell ref="J10:M10"/>
    <mergeCell ref="A16:F22"/>
    <mergeCell ref="H16:N22"/>
    <mergeCell ref="C12:E12"/>
    <mergeCell ref="C13:E13"/>
    <mergeCell ref="C14:E14"/>
    <mergeCell ref="E2:L3"/>
    <mergeCell ref="A6:F8"/>
    <mergeCell ref="H6:N8"/>
    <mergeCell ref="C10:E10"/>
    <mergeCell ref="C11:E11"/>
    <mergeCell ref="C9:E9"/>
    <mergeCell ref="J9:M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04dc88c-7c68-4990-852c-4ff30c098c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5A61B4EB9DBF0439AA8F6164C6239B0" ma:contentTypeVersion="9" ma:contentTypeDescription="Crear nuevo documento." ma:contentTypeScope="" ma:versionID="a815610676c5df10f90dfd702ac6af58">
  <xsd:schema xmlns:xsd="http://www.w3.org/2001/XMLSchema" xmlns:xs="http://www.w3.org/2001/XMLSchema" xmlns:p="http://schemas.microsoft.com/office/2006/metadata/properties" xmlns:ns3="304dc88c-7c68-4990-852c-4ff30c098c3b" xmlns:ns4="39a03c7b-21f4-4c08-b75e-e29747c4655e" targetNamespace="http://schemas.microsoft.com/office/2006/metadata/properties" ma:root="true" ma:fieldsID="ad4c1e3e9525388a426f67efc27b825d" ns3:_="" ns4:_="">
    <xsd:import namespace="304dc88c-7c68-4990-852c-4ff30c098c3b"/>
    <xsd:import namespace="39a03c7b-21f4-4c08-b75e-e29747c4655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4dc88c-7c68-4990-852c-4ff30c098c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a03c7b-21f4-4c08-b75e-e29747c465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93F2E8-6C47-422B-B63A-2924212A9B7E}">
  <ds:schemaRefs>
    <ds:schemaRef ds:uri="304dc88c-7c68-4990-852c-4ff30c098c3b"/>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http://purl.org/dc/terms/"/>
    <ds:schemaRef ds:uri="http://schemas.openxmlformats.org/package/2006/metadata/core-properties"/>
    <ds:schemaRef ds:uri="39a03c7b-21f4-4c08-b75e-e29747c4655e"/>
    <ds:schemaRef ds:uri="http://schemas.microsoft.com/office/2006/metadata/properties"/>
  </ds:schemaRefs>
</ds:datastoreItem>
</file>

<file path=customXml/itemProps2.xml><?xml version="1.0" encoding="utf-8"?>
<ds:datastoreItem xmlns:ds="http://schemas.openxmlformats.org/officeDocument/2006/customXml" ds:itemID="{4DEB047C-56FB-40B7-AEA1-9B99C87155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4dc88c-7c68-4990-852c-4ff30c098c3b"/>
    <ds:schemaRef ds:uri="39a03c7b-21f4-4c08-b75e-e29747c465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7FEFE8-C787-4F7F-923D-F4B442E844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RAMIREZ VILLANUEVA GEORGINA</dc:creator>
  <cp:lastModifiedBy>RAMIREZ VILLANUEVA GEORGINA</cp:lastModifiedBy>
  <dcterms:created xsi:type="dcterms:W3CDTF">2026-02-18T16:41:38Z</dcterms:created>
  <dcterms:modified xsi:type="dcterms:W3CDTF">2026-02-20T01:13:34Z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0x01010015A61B4EB9DBF0439AA8F6164C6239B0</vt:lpwstr>
  </property>
</Properties>
</file>